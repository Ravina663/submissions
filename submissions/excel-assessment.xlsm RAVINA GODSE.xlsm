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Owner\OneDrive\Desktop\"/>
    </mc:Choice>
  </mc:AlternateContent>
  <bookViews>
    <workbookView xWindow="0" yWindow="495" windowWidth="29400" windowHeight="16305" tabRatio="849" firstSheet="1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D29" i="18" l="1"/>
  <c r="C29" i="18"/>
  <c r="C28" i="18"/>
  <c r="C30" i="18"/>
  <c r="D30" i="18"/>
  <c r="E30" i="18"/>
  <c r="F30" i="18"/>
  <c r="E29" i="18"/>
  <c r="F29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<sst xmlns="http://schemas.openxmlformats.org/spreadsheetml/2006/main" count="418" uniqueCount="191">
  <si>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</si>
  <si>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</si>
  <si>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</si>
  <si>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</si>
  <si>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</si>
  <si>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</si>
  <si>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</si>
  <si>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</si>
  <si>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</si>
  <si>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</si>
  <si>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</si>
  <si>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</si>
  <si>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</si>
  <si>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</si>
  <si>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</si>
  <si>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</si>
  <si>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</si>
  <si>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</si>
  <si>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</si>
  <si>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</si>
  <si>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</si>
  <si>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</si>
  <si>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</si>
  <si>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</si>
  <si>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</si>
  <si>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</si>
  <si>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</si>
  <si>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</si>
  <si>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</si>
  <si>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</si>
  <si>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</si>
  <si>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</si>
  <si>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</si>
  <si>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</si>
  <si>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</si>
  <si>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</si>
  <si>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</si>
  <si>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</si>
  <si>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</si>
  <si>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</si>
  <si>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</si>
  <si>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</si>
  <si>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</si>
  <si>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</si>
  <si>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</si>
  <si>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</si>
  <si>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</si>
  <si>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</si>
  <si>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</si>
  <si>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</si>
  <si>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</si>
  <si>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</si>
  <si>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</si>
  <si>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</si>
  <si>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</si>
  <si>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</si>
  <si>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</si>
  <si>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</si>
  <si>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</si>
  <si>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</si>
  <si>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</si>
  <si>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</si>
  <si>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</si>
  <si>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</si>
  <si>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</si>
  <si>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</si>
  <si>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</si>
  <si>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</si>
  <si>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</si>
  <si>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</si>
  <si>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</si>
  <si>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</si>
  <si>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</si>
  <si>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</si>
  <si>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</si>
  <si>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</si>
  <si>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</si>
  <si>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</si>
  <si>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</si>
  <si>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</si>
  <si>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</si>
  <si>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</si>
  <si>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</si>
  <si>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</si>
  <si>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</si>
  <si>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</si>
  <si>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</si>
  <si>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</si>
  <si>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</si>
  <si>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</si>
  <si>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</si>
  <si>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</si>
  <si>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</si>
  <si>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</si>
  <si>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</si>
  <si>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</si>
  <si>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</si>
  <si>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</si>
  <si>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</si>
  <si>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</si>
  <si>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</si>
  <si>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</si>
  <si>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</si>
  <si>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</si>
  <si>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</si>
  <si>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</si>
  <si>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</si>
  <si>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</si>
  <si>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</si>
  <si>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</si>
  <si>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</si>
  <si>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</si>
  <si>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</si>
  <si>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</si>
  <si>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</si>
  <si>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</si>
  <si>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</si>
  <si>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</si>
  <si>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</si>
  <si>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</si>
  <si>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</si>
  <si>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</si>
  <si>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</si>
  <si>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</si>
  <si>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</si>
  <si>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</si>
  <si>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</si>
  <si>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</si>
  <si>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</si>
  <si>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</si>
  <si>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</si>
  <si>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</si>
  <si>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</si>
  <si>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</si>
  <si>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</si>
  <si>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</si>
  <si>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</si>
  <si>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</si>
  <si>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</si>
  <si>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</si>
  <si>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</si>
  <si>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</si>
  <si>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</si>
  <si>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</si>
  <si>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</si>
  <si>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</si>
  <si>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</si>
  <si>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</si>
  <si>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</si>
  <si>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</si>
  <si>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</si>
  <si>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</si>
  <si>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</si>
  <si>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</si>
  <si>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</si>
  <si>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</si>
  <si>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</si>
  <si>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</si>
  <si>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</si>
  <si>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</si>
  <si>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</si>
  <si>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</si>
  <si>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</si>
  <si>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</si>
  <si>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</si>
  <si>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</si>
  <si>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</si>
  <si>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</si>
  <si>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</si>
  <si>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</si>
  <si>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</si>
  <si>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</si>
  <si>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</si>
  <si>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</si>
  <si>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</si>
  <si>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</si>
  <si>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</si>
  <si>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</si>
  <si>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SUMIF(H2:H40, "&gt;20")</t>
  </si>
  <si>
    <t>format cell option</t>
  </si>
  <si>
    <t>view- freez pane</t>
  </si>
  <si>
    <t>FILL USING VLOOKUP</t>
  </si>
  <si>
    <t>TEXT TO COLUMN</t>
  </si>
  <si>
    <t>ANS:</t>
  </si>
  <si>
    <r>
      <t>ISNA(C12:C21)</t>
    </r>
    <r>
      <rPr>
        <sz val="14"/>
        <color rgb="FF374151"/>
        <rFont val="Algerian"/>
        <family val="5"/>
      </rPr>
      <t xml:space="preserve">: This part of the formula checks each cell in the range </t>
    </r>
    <r>
      <rPr>
        <sz val="8.75"/>
        <color rgb="FF374151"/>
        <rFont val="Algerian"/>
        <family val="5"/>
      </rPr>
      <t>C12:C21</t>
    </r>
    <r>
      <rPr>
        <sz val="14"/>
        <color rgb="FF374151"/>
        <rFont val="Algerian"/>
        <family val="5"/>
      </rPr>
      <t xml:space="preserve"> (assuming this is the range where your sales data is) for the #N/A error. The </t>
    </r>
    <r>
      <rPr>
        <sz val="8.75"/>
        <color rgb="FF374151"/>
        <rFont val="Algerian"/>
        <family val="5"/>
      </rPr>
      <t>ISNA</t>
    </r>
    <r>
      <rPr>
        <sz val="14"/>
        <color rgb="FF374151"/>
        <rFont val="Algerian"/>
        <family val="5"/>
      </rPr>
      <t xml:space="preserve"> function returns </t>
    </r>
    <r>
      <rPr>
        <sz val="8.75"/>
        <color rgb="FF374151"/>
        <rFont val="Algerian"/>
        <family val="5"/>
      </rPr>
      <t>TRUE</t>
    </r>
    <r>
      <rPr>
        <sz val="14"/>
        <color rgb="FF374151"/>
        <rFont val="Algerian"/>
        <family val="5"/>
      </rPr>
      <t xml:space="preserve"> if the cell contains #N/A and </t>
    </r>
    <r>
      <rPr>
        <sz val="8.75"/>
        <color rgb="FF374151"/>
        <rFont val="Algerian"/>
        <family val="5"/>
      </rPr>
      <t>FALSE</t>
    </r>
    <r>
      <rPr>
        <sz val="14"/>
        <color rgb="FF374151"/>
        <rFont val="Algerian"/>
        <family val="5"/>
      </rPr>
      <t xml:space="preserve"> otherwise.</t>
    </r>
  </si>
  <si>
    <r>
      <t>IF(ISNA(C12:C21), 20, C12:C21)</t>
    </r>
    <r>
      <rPr>
        <sz val="14"/>
        <color rgb="FF374151"/>
        <rFont val="Algerian"/>
        <family val="5"/>
      </rPr>
      <t xml:space="preserve">: The </t>
    </r>
    <r>
      <rPr>
        <sz val="8.75"/>
        <color rgb="FF374151"/>
        <rFont val="Algerian"/>
        <family val="5"/>
      </rPr>
      <t>IF</t>
    </r>
    <r>
      <rPr>
        <sz val="14"/>
        <color rgb="FF374151"/>
        <rFont val="Algerian"/>
        <family val="5"/>
      </rPr>
      <t xml:space="preserve"> function is then used to create an array that replaces #N/A values with </t>
    </r>
    <r>
      <rPr>
        <sz val="8.75"/>
        <color rgb="FF374151"/>
        <rFont val="Algerian"/>
        <family val="5"/>
      </rPr>
      <t>20</t>
    </r>
    <r>
      <rPr>
        <sz val="14"/>
        <color rgb="FF374151"/>
        <rFont val="Algerian"/>
        <family val="5"/>
      </rPr>
      <t xml:space="preserve"> and keeps the original values for non-error cells. If the corresponding cell is #N/A (</t>
    </r>
    <r>
      <rPr>
        <sz val="8.75"/>
        <color rgb="FF374151"/>
        <rFont val="Algerian"/>
        <family val="5"/>
      </rPr>
      <t>ISNA</t>
    </r>
    <r>
      <rPr>
        <sz val="14"/>
        <color rgb="FF374151"/>
        <rFont val="Algerian"/>
        <family val="5"/>
      </rPr>
      <t xml:space="preserve"> is </t>
    </r>
    <r>
      <rPr>
        <sz val="8.75"/>
        <color rgb="FF374151"/>
        <rFont val="Algerian"/>
        <family val="5"/>
      </rPr>
      <t>TRUE</t>
    </r>
    <r>
      <rPr>
        <sz val="14"/>
        <color rgb="FF374151"/>
        <rFont val="Algerian"/>
        <family val="5"/>
      </rPr>
      <t xml:space="preserve">), it uses </t>
    </r>
    <r>
      <rPr>
        <sz val="8.75"/>
        <color rgb="FF374151"/>
        <rFont val="Algerian"/>
        <family val="5"/>
      </rPr>
      <t>20</t>
    </r>
    <r>
      <rPr>
        <sz val="14"/>
        <color rgb="FF374151"/>
        <rFont val="Algerian"/>
        <family val="5"/>
      </rPr>
      <t xml:space="preserve"> as the value; otherwise, it uses the original value (</t>
    </r>
    <r>
      <rPr>
        <sz val="8.75"/>
        <color rgb="FF374151"/>
        <rFont val="Algerian"/>
        <family val="5"/>
      </rPr>
      <t>C12:C21</t>
    </r>
    <r>
      <rPr>
        <sz val="14"/>
        <color rgb="FF374151"/>
        <rFont val="Algerian"/>
        <family val="5"/>
      </rPr>
      <t>).</t>
    </r>
  </si>
  <si>
    <r>
      <t>SUM(IF(ISNA(C12:C21), 20, C12:C21))</t>
    </r>
    <r>
      <rPr>
        <sz val="14"/>
        <color rgb="FF374151"/>
        <rFont val="Algerian"/>
        <family val="5"/>
      </rPr>
      <t xml:space="preserve">: The </t>
    </r>
    <r>
      <rPr>
        <sz val="8.75"/>
        <color rgb="FF374151"/>
        <rFont val="Algerian"/>
        <family val="5"/>
      </rPr>
      <t>SUM</t>
    </r>
    <r>
      <rPr>
        <sz val="14"/>
        <color rgb="FF374151"/>
        <rFont val="Algerian"/>
        <family val="5"/>
      </rPr>
      <t xml:space="preserve"> function then calculates the sum of the resulting array. It adds up all the values in the modified array, where #N/A values have been replaced with 20.</t>
    </r>
  </si>
  <si>
    <t>Sum(IF(ISNA(C12:C21),20,C12:C21))</t>
  </si>
  <si>
    <r>
      <t>MATCH(A23, $M$10:$M$18, 0)</t>
    </r>
    <r>
      <rPr>
        <sz val="14"/>
        <color rgb="FF374151"/>
        <rFont val="Cascadia Mono"/>
        <family val="3"/>
      </rPr>
      <t xml:space="preserve">: This part of the formula is finding the row number in the range </t>
    </r>
    <r>
      <rPr>
        <sz val="8.75"/>
        <color rgb="FF374151"/>
        <rFont val="Cascadia Mono"/>
        <family val="3"/>
      </rPr>
      <t>$M$10:$M$18</t>
    </r>
    <r>
      <rPr>
        <sz val="14"/>
        <color rgb="FF374151"/>
        <rFont val="Cascadia Mono"/>
        <family val="3"/>
      </rPr>
      <t xml:space="preserve"> where the value in cell </t>
    </r>
    <r>
      <rPr>
        <sz val="8.75"/>
        <color rgb="FF374151"/>
        <rFont val="Cascadia Mono"/>
        <family val="3"/>
      </rPr>
      <t>A23</t>
    </r>
    <r>
      <rPr>
        <sz val="14"/>
        <color rgb="FF374151"/>
        <rFont val="Cascadia Mono"/>
        <family val="3"/>
      </rPr>
      <t xml:space="preserve"> is located. The </t>
    </r>
    <r>
      <rPr>
        <sz val="8.75"/>
        <color rgb="FF374151"/>
        <rFont val="Cascadia Mono"/>
        <family val="3"/>
      </rPr>
      <t>0</t>
    </r>
    <r>
      <rPr>
        <sz val="14"/>
        <color rgb="FF374151"/>
        <rFont val="Cascadia Mono"/>
        <family val="3"/>
      </rPr>
      <t xml:space="preserve"> as the third argument of the </t>
    </r>
    <r>
      <rPr>
        <sz val="8.75"/>
        <color rgb="FF374151"/>
        <rFont val="Cascadia Mono"/>
        <family val="3"/>
      </rPr>
      <t>MATCH</t>
    </r>
    <r>
      <rPr>
        <sz val="14"/>
        <color rgb="FF374151"/>
        <rFont val="Cascadia Mono"/>
        <family val="3"/>
      </rPr>
      <t xml:space="preserve"> function signifies an exact match.</t>
    </r>
  </si>
  <si>
    <r>
      <t>MATCH(B23, $M$10:$M$18, 0)</t>
    </r>
    <r>
      <rPr>
        <sz val="14"/>
        <color rgb="FF374151"/>
        <rFont val="Cascadia Mono"/>
        <family val="3"/>
      </rPr>
      <t xml:space="preserve">: This part is finding the column number in the same range </t>
    </r>
    <r>
      <rPr>
        <sz val="8.75"/>
        <color rgb="FF374151"/>
        <rFont val="Cascadia Mono"/>
        <family val="3"/>
      </rPr>
      <t>$M$10:$M$18</t>
    </r>
    <r>
      <rPr>
        <sz val="14"/>
        <color rgb="FF374151"/>
        <rFont val="Cascadia Mono"/>
        <family val="3"/>
      </rPr>
      <t xml:space="preserve"> where the value in cell </t>
    </r>
    <r>
      <rPr>
        <sz val="8.75"/>
        <color rgb="FF374151"/>
        <rFont val="Cascadia Mono"/>
        <family val="3"/>
      </rPr>
      <t>B23</t>
    </r>
    <r>
      <rPr>
        <sz val="14"/>
        <color rgb="FF374151"/>
        <rFont val="Cascadia Mono"/>
        <family val="3"/>
      </rPr>
      <t xml:space="preserve"> is located.</t>
    </r>
  </si>
  <si>
    <r>
      <t>INDEX($B$10:$J$18, ..., ...)</t>
    </r>
    <r>
      <rPr>
        <sz val="14"/>
        <color rgb="FF374151"/>
        <rFont val="Cascadia Mono"/>
        <family val="3"/>
      </rPr>
      <t xml:space="preserve">: This function is then using the row and column numbers obtained from the </t>
    </r>
    <r>
      <rPr>
        <sz val="8.75"/>
        <color rgb="FF374151"/>
        <rFont val="Cascadia Mono"/>
        <family val="3"/>
      </rPr>
      <t>MATCH</t>
    </r>
    <r>
      <rPr>
        <sz val="14"/>
        <color rgb="FF374151"/>
        <rFont val="Cascadia Mono"/>
        <family val="3"/>
      </rPr>
      <t xml:space="preserve"> functions to retrieve the value at the intersection of that row and column in the range </t>
    </r>
    <r>
      <rPr>
        <sz val="8.75"/>
        <color rgb="FF374151"/>
        <rFont val="Cascadia Mono"/>
        <family val="3"/>
      </rPr>
      <t>$B$10:$J$18</t>
    </r>
    <r>
      <rPr>
        <sz val="14"/>
        <color rgb="FF374151"/>
        <rFont val="Cascadia Mono"/>
        <family val="3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</si>
</sst>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[$-14009]yyyy/mm/dd;@"/>
  </numFmts>
  <fonts count="3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374151"/>
      <name val="Segoe UI"/>
      <family val="2"/>
    </font>
    <font>
      <sz val="8.75"/>
      <color rgb="FF374151"/>
      <name val="Courier New"/>
      <family val="3"/>
    </font>
    <font>
      <sz val="11"/>
      <color rgb="FF000000"/>
      <name val="Algerian"/>
      <family val="5"/>
    </font>
    <font>
      <sz val="14"/>
      <color rgb="FF374151"/>
      <name val="Algerian"/>
      <family val="5"/>
    </font>
    <font>
      <sz val="8.75"/>
      <color rgb="FF374151"/>
      <name val="Algerian"/>
      <family val="5"/>
    </font>
    <font>
      <sz val="11"/>
      <color rgb="FF000000"/>
      <name val="Calibri Light"/>
      <family val="2"/>
      <scheme val="major"/>
    </font>
    <font>
      <sz val="10"/>
      <color rgb="FF000000"/>
      <name val="Calibri Light"/>
      <family val="2"/>
      <scheme val="major"/>
    </font>
    <font>
      <sz val="10"/>
      <color rgb="FFFFFFFF"/>
      <name val="Inherit"/>
    </font>
    <font>
      <sz val="8.75"/>
      <color rgb="FF374151"/>
      <name val="Cascadia Mono"/>
      <family val="3"/>
    </font>
    <font>
      <sz val="14"/>
      <color rgb="FF374151"/>
      <name val="Cascadia Mono"/>
      <family val="3"/>
    </font>
    <font>
      <sz val="10"/>
      <color rgb="FF000000"/>
      <name val="Cascadia Mono"/>
      <family val="3"/>
    </font>
    <font>
      <sz val="8.75"/>
      <color rgb="FF374151"/>
      <name val="Cascadia Mono"/>
      <family val="3"/>
    </font>
  </fonts>
  <fills count="10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6" borderId="0" xfId="0" applyFont="1" applyFill="1"/>
    <xf numFmtId="0" fontId="3" fillId="0" borderId="0" xfId="0" applyFont="1" applyFill="1"/>
    <xf numFmtId="164" fontId="3" fillId="0" borderId="0" xfId="0" applyNumberFormat="1" applyFont="1" applyFill="1"/>
    <xf numFmtId="0" fontId="3" fillId="7" borderId="0" xfId="0" applyFont="1" applyFill="1"/>
    <xf numFmtId="166" fontId="3" fillId="0" borderId="0" xfId="0" applyNumberFormat="1" applyFont="1"/>
    <xf numFmtId="166" fontId="3" fillId="0" borderId="0" xfId="0" applyNumberFormat="1" applyFont="1" applyFill="1"/>
    <xf numFmtId="0" fontId="3" fillId="8" borderId="0" xfId="0" applyFont="1" applyFill="1"/>
    <xf numFmtId="0" fontId="3" fillId="9" borderId="0" xfId="0" applyFont="1" applyFill="1"/>
    <xf numFmtId="0" fontId="7" fillId="0" borderId="0" xfId="0" applyFont="1" applyFill="1"/>
    <xf numFmtId="0" fontId="8" fillId="9" borderId="0" xfId="0" applyFont="1" applyFill="1"/>
    <xf numFmtId="0" fontId="18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8" fillId="0" borderId="0" xfId="0" applyFont="1" applyFill="1"/>
    <xf numFmtId="0" fontId="19" fillId="0" borderId="0" xfId="0" applyFont="1" applyFill="1" applyAlignment="1">
      <alignment horizontal="left" vertical="center" indent="1"/>
    </xf>
    <xf numFmtId="0" fontId="0" fillId="0" borderId="0" xfId="0" applyFill="1"/>
    <xf numFmtId="0" fontId="18" fillId="0" borderId="0" xfId="0" applyFont="1" applyFill="1" applyAlignment="1">
      <alignment vertical="center"/>
    </xf>
    <xf numFmtId="0" fontId="26" fillId="9" borderId="0" xfId="0" applyFont="1" applyFill="1" applyAlignment="1">
      <alignment horizontal="left" vertical="center" indent="1"/>
    </xf>
    <xf numFmtId="0" fontId="28" fillId="9" borderId="0" xfId="0" applyFont="1" applyFill="1"/>
    <xf numFmtId="0" fontId="29" fillId="9" borderId="0" xfId="0" applyFont="1" applyFill="1" applyAlignment="1">
      <alignment vertical="center"/>
    </xf>
    <xf numFmtId="0" fontId="20" fillId="9" borderId="0" xfId="0" applyFont="1" applyFill="1"/>
    <xf numFmtId="0" fontId="23" fillId="9" borderId="0" xfId="0" applyFont="1" applyFill="1"/>
    <xf numFmtId="0" fontId="22" fillId="9" borderId="0" xfId="0" applyFont="1" applyFill="1" applyAlignment="1">
      <alignment horizontal="left" vertical="center" indent="1"/>
    </xf>
    <xf numFmtId="0" fontId="24" fillId="9" borderId="0" xfId="0" applyFont="1" applyFill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9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6" t="s">
        <v>171</v>
      </c>
      <c r="B9" s="26" t="s">
        <v>169</v>
      </c>
    </row>
    <row r="10" spans="1:3">
      <c r="A10" s="35" t="s">
        <v>172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5" activePane="bottomLeft" state="frozen"/>
      <selection pane="bottomLeft" activeCell="M25" sqref="M25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46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53" t="s">
        <v>67</v>
      </c>
      <c r="K1" s="53" t="s">
        <v>68</v>
      </c>
      <c r="L1" s="53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51">
        <v>-1</v>
      </c>
      <c r="K2" s="51">
        <v>-1</v>
      </c>
      <c r="L2" s="5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9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51">
        <v>-1</v>
      </c>
      <c r="K3" s="51">
        <v>-1</v>
      </c>
      <c r="L3" s="5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9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51">
        <v>-1</v>
      </c>
      <c r="K4" s="51">
        <v>-1</v>
      </c>
      <c r="L4" s="5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9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51">
        <v>-1</v>
      </c>
      <c r="K5" s="51">
        <v>-1</v>
      </c>
      <c r="L5" s="5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9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51">
        <v>-1</v>
      </c>
      <c r="K6" s="51">
        <v>-1</v>
      </c>
      <c r="L6" s="5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9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51">
        <v>-1</v>
      </c>
      <c r="K7" s="51">
        <v>-1</v>
      </c>
      <c r="L7" s="5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9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51">
        <v>-1</v>
      </c>
      <c r="K8" s="51">
        <v>-1</v>
      </c>
      <c r="L8" s="5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9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51">
        <v>-1</v>
      </c>
      <c r="K9" s="51">
        <v>-1</v>
      </c>
      <c r="L9" s="5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9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51">
        <v>-1</v>
      </c>
      <c r="K10" s="51">
        <v>-1</v>
      </c>
      <c r="L10" s="5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9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51">
        <v>-1</v>
      </c>
      <c r="K11" s="51">
        <v>-1</v>
      </c>
      <c r="L11" s="5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9">
        <v>45104</v>
      </c>
    </row>
    <row r="12" spans="1:24" s="46" customFormat="1">
      <c r="A12" s="46" t="s">
        <v>15</v>
      </c>
      <c r="B12" s="46">
        <v>20020</v>
      </c>
      <c r="C12" s="46" t="s">
        <v>5</v>
      </c>
      <c r="D12" s="47">
        <v>0</v>
      </c>
      <c r="E12" s="46" t="s">
        <v>6</v>
      </c>
      <c r="F12" s="47">
        <v>0.99998842592592596</v>
      </c>
      <c r="G12" s="45">
        <v>0</v>
      </c>
      <c r="H12" s="45">
        <v>0</v>
      </c>
      <c r="I12" s="45">
        <v>0</v>
      </c>
      <c r="J12" s="51">
        <v>0</v>
      </c>
      <c r="K12" s="51">
        <v>0</v>
      </c>
      <c r="L12" s="51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50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51">
        <v>-1</v>
      </c>
      <c r="K13" s="51">
        <v>-1</v>
      </c>
      <c r="L13" s="5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9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51">
        <v>-1</v>
      </c>
      <c r="K14" s="51">
        <v>-1</v>
      </c>
      <c r="L14" s="5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9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51">
        <v>-1</v>
      </c>
      <c r="K15" s="51">
        <v>-1</v>
      </c>
      <c r="L15" s="5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9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51">
        <v>-1</v>
      </c>
      <c r="K16" s="51">
        <v>-1</v>
      </c>
      <c r="L16" s="5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9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51">
        <v>-1</v>
      </c>
      <c r="K17" s="51">
        <v>-1</v>
      </c>
      <c r="L17" s="5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9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51">
        <v>-1</v>
      </c>
      <c r="K18" s="51">
        <v>-1</v>
      </c>
      <c r="L18" s="5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51">
        <v>-1</v>
      </c>
      <c r="K19" s="51">
        <v>-1</v>
      </c>
      <c r="L19" s="5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51">
        <v>-1</v>
      </c>
      <c r="K20" s="51">
        <v>-1</v>
      </c>
      <c r="L20" s="5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51">
        <v>-1</v>
      </c>
      <c r="K21" s="51">
        <v>-1</v>
      </c>
      <c r="L21" s="5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51">
        <v>-1</v>
      </c>
      <c r="K22" s="51">
        <v>-1</v>
      </c>
      <c r="L22" s="5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51">
        <v>-1</v>
      </c>
      <c r="K23" s="51">
        <v>-1</v>
      </c>
      <c r="L23" s="5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51">
        <v>-1</v>
      </c>
      <c r="K24" s="51">
        <v>-1</v>
      </c>
      <c r="L24" s="5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51">
        <v>-1</v>
      </c>
      <c r="K25" s="51">
        <v>-1</v>
      </c>
      <c r="L25" s="5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5">
        <v>0</v>
      </c>
      <c r="H26" s="45">
        <v>0</v>
      </c>
      <c r="I26" s="45">
        <v>0</v>
      </c>
      <c r="J26" s="51">
        <v>0</v>
      </c>
      <c r="K26" s="51">
        <v>0</v>
      </c>
      <c r="L26" s="51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9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51">
        <v>-1</v>
      </c>
      <c r="K27" s="51">
        <v>-1</v>
      </c>
      <c r="L27" s="5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51">
        <v>-1</v>
      </c>
      <c r="K28" s="51">
        <v>-1</v>
      </c>
      <c r="L28" s="5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51">
        <v>-1</v>
      </c>
      <c r="K29" s="51">
        <v>-1</v>
      </c>
      <c r="L29" s="5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51">
        <v>-1</v>
      </c>
      <c r="H30" s="51">
        <v>-1</v>
      </c>
      <c r="I30" s="51">
        <v>-1</v>
      </c>
      <c r="J30" s="51">
        <v>-1</v>
      </c>
      <c r="K30" s="51">
        <v>-1</v>
      </c>
      <c r="L30" s="51">
        <v>-1</v>
      </c>
      <c r="M30" s="51">
        <v>-1</v>
      </c>
      <c r="N30" s="51">
        <v>-1</v>
      </c>
      <c r="O30" s="51">
        <v>-1</v>
      </c>
      <c r="P30" s="51">
        <v>-1</v>
      </c>
      <c r="Q30" s="51">
        <v>-1</v>
      </c>
      <c r="R30" s="51">
        <v>-1</v>
      </c>
      <c r="S30" s="51">
        <v>-1</v>
      </c>
      <c r="T30" s="51">
        <v>-1</v>
      </c>
      <c r="U30" s="51">
        <v>-1</v>
      </c>
      <c r="V30" s="51">
        <v>-1</v>
      </c>
      <c r="W30" s="51">
        <v>-1</v>
      </c>
      <c r="X30" s="49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51">
        <v>-1</v>
      </c>
      <c r="K31" s="51">
        <v>-1</v>
      </c>
      <c r="L31" s="5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51">
        <v>-1</v>
      </c>
      <c r="H32" s="51">
        <v>-1</v>
      </c>
      <c r="I32" s="51">
        <v>-1</v>
      </c>
      <c r="J32" s="51">
        <v>-1</v>
      </c>
      <c r="K32" s="51">
        <v>-1</v>
      </c>
      <c r="L32" s="51">
        <v>-1</v>
      </c>
      <c r="M32" s="51">
        <v>-1</v>
      </c>
      <c r="N32" s="51">
        <v>-1</v>
      </c>
      <c r="O32" s="51">
        <v>-1</v>
      </c>
      <c r="P32" s="51">
        <v>-1</v>
      </c>
      <c r="Q32" s="51">
        <v>-1</v>
      </c>
      <c r="R32" s="51">
        <v>-1</v>
      </c>
      <c r="S32" s="51">
        <v>-1</v>
      </c>
      <c r="T32" s="51">
        <v>-1</v>
      </c>
      <c r="U32" s="51">
        <v>-1</v>
      </c>
      <c r="V32" s="51">
        <v>-1</v>
      </c>
      <c r="W32" s="51">
        <v>-1</v>
      </c>
      <c r="X32" s="49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51">
        <v>-1</v>
      </c>
      <c r="K33" s="51">
        <v>-1</v>
      </c>
      <c r="L33" s="5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51">
        <v>-1</v>
      </c>
      <c r="K34" s="51">
        <v>-1</v>
      </c>
      <c r="L34" s="5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51">
        <v>-1</v>
      </c>
      <c r="K35" s="51">
        <v>-1</v>
      </c>
      <c r="L35" s="5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51">
        <v>-1</v>
      </c>
      <c r="K36" s="51">
        <v>-1</v>
      </c>
      <c r="L36" s="5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51">
        <v>-1</v>
      </c>
      <c r="K37" s="51">
        <v>-1</v>
      </c>
      <c r="L37" s="5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51">
        <v>-1</v>
      </c>
      <c r="K38" s="51">
        <v>-1</v>
      </c>
      <c r="L38" s="5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51">
        <v>-1</v>
      </c>
      <c r="K39" s="51">
        <v>-1</v>
      </c>
      <c r="L39" s="5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51">
        <v>-1</v>
      </c>
      <c r="K40" s="51">
        <v>-1</v>
      </c>
      <c r="L40" s="5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>
        <v>45162</v>
      </c>
    </row>
    <row r="41" spans="1:24">
      <c r="H41" s="48">
        <f>SUMIF(H2:H40, "&gt;20")</f>
        <v>1473.0000000000002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F14" sqref="F14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D3" s="1" t="s">
        <v>177</v>
      </c>
      <c r="E3" s="1">
        <v>5</v>
      </c>
    </row>
    <row r="4" spans="1:5">
      <c r="A4" s="6">
        <v>2</v>
      </c>
      <c r="B4" s="2" t="s">
        <v>46</v>
      </c>
      <c r="C4" s="2" t="s">
        <v>180</v>
      </c>
      <c r="D4" s="1" t="s">
        <v>177</v>
      </c>
      <c r="E4" s="1">
        <v>5</v>
      </c>
    </row>
    <row r="5" spans="1:5">
      <c r="A5" s="6">
        <v>3</v>
      </c>
      <c r="B5" s="2" t="s">
        <v>104</v>
      </c>
      <c r="C5" s="34" t="s">
        <v>178</v>
      </c>
      <c r="D5" s="1" t="s">
        <v>177</v>
      </c>
      <c r="E5" s="1">
        <v>10</v>
      </c>
    </row>
    <row r="6" spans="1:5">
      <c r="A6" s="6">
        <v>4</v>
      </c>
      <c r="B6" s="2" t="s">
        <v>106</v>
      </c>
      <c r="C6" s="2" t="s">
        <v>179</v>
      </c>
      <c r="D6" s="1" t="s">
        <v>177</v>
      </c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"/>
  <sheetViews>
    <sheetView topLeftCell="D1" zoomScaleNormal="100" workbookViewId="0">
      <selection activeCell="M11" sqref="M11"/>
    </sheetView>
  </sheetViews>
  <sheetFormatPr defaultColWidth="11" defaultRowHeight="12.75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9" s="41" customFormat="1" ht="21">
      <c r="A1" s="42" t="s">
        <v>55</v>
      </c>
      <c r="B1" s="41" t="s">
        <v>164</v>
      </c>
    </row>
    <row r="2" spans="1:9" s="41" customFormat="1" ht="21">
      <c r="B2" s="41" t="s">
        <v>161</v>
      </c>
    </row>
    <row r="3" spans="1:9" ht="15">
      <c r="A3" s="1"/>
      <c r="B3" s="1"/>
      <c r="C3" s="1"/>
      <c r="D3" s="1"/>
      <c r="E3" s="1"/>
      <c r="F3" s="1"/>
      <c r="G3" s="1"/>
    </row>
    <row r="4" spans="1:9" ht="23.25">
      <c r="A4" s="18" t="s">
        <v>162</v>
      </c>
      <c r="B4" s="1"/>
      <c r="C4" s="1"/>
      <c r="D4" s="1"/>
      <c r="E4" s="1"/>
      <c r="F4" s="1"/>
      <c r="G4" s="1"/>
    </row>
    <row r="5" spans="1:9" ht="1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9" ht="15">
      <c r="A6" s="7" t="s">
        <v>40</v>
      </c>
      <c r="B6" s="12">
        <f>VLOOKUP($A6,Dataset!A1:X40,7,FALSE)</f>
        <v>2.7</v>
      </c>
      <c r="C6" s="12">
        <f>VLOOKUP($A6,Dataset!A1:X40,14,FALSE)</f>
        <v>7.6</v>
      </c>
      <c r="D6" s="12">
        <f>VLOOKUP($A6,Dataset!A1:X40,18,FALSE)</f>
        <v>4.2</v>
      </c>
      <c r="E6" s="12">
        <f>VLOOKUP($A6,Dataset!A1:X40,20,FALSE)</f>
        <v>8.9</v>
      </c>
      <c r="F6" s="8">
        <f>VLOOKUP($A6,Dataset!A1:X40,22,FALSE)</f>
        <v>4.2</v>
      </c>
      <c r="G6" s="54" t="s">
        <v>183</v>
      </c>
      <c r="H6" s="54" t="s">
        <v>181</v>
      </c>
      <c r="I6" s="54"/>
    </row>
    <row r="7" spans="1:9" ht="15">
      <c r="A7" s="7" t="s">
        <v>4</v>
      </c>
      <c r="B7" s="12">
        <f>VLOOKUP($A7,Dataset!A2:X41,7,FALSE)</f>
        <v>2.7</v>
      </c>
      <c r="C7" s="12">
        <f>VLOOKUP($A7,Dataset!A2:X41,13,FALSE)</f>
        <v>5.3</v>
      </c>
      <c r="D7" s="12">
        <f>VLOOKUP($A7,Dataset!A2:X41,18,FALSE)</f>
        <v>4.2</v>
      </c>
      <c r="E7" s="12">
        <f>VLOOKUP($A7,Dataset!A2:X41,20,FALSE)</f>
        <v>8.9</v>
      </c>
      <c r="F7" s="8">
        <f>VLOOKUP($A7,Dataset!A2:X41,22,FALSE)</f>
        <v>4.2</v>
      </c>
    </row>
    <row r="8" spans="1:9" ht="15">
      <c r="A8" s="7" t="s">
        <v>7</v>
      </c>
      <c r="B8" s="12">
        <f>VLOOKUP($A8,Dataset!A3:X42,7,FALSE)</f>
        <v>3.6</v>
      </c>
      <c r="C8" s="12">
        <f>VLOOKUP($A8,Dataset!A3:X42,13,FALSE)</f>
        <v>7.6</v>
      </c>
      <c r="D8" s="12">
        <f>VLOOKUP($A8,Dataset!A3:X42,18,FALSE)</f>
        <v>5.8</v>
      </c>
      <c r="E8" s="12">
        <f>VLOOKUP($A8,Dataset!A3:X42,20,FALSE)</f>
        <v>12.2</v>
      </c>
      <c r="F8" s="8">
        <f>VLOOKUP($A8,Dataset!A3:X42,22,FALSE)</f>
        <v>5.8</v>
      </c>
    </row>
    <row r="9" spans="1:9" ht="15">
      <c r="A9" s="7" t="s">
        <v>8</v>
      </c>
      <c r="B9" s="12">
        <f>VLOOKUP($A9,Dataset!A4:X43,7,FALSE)</f>
        <v>4.9000000000000004</v>
      </c>
      <c r="C9" s="12">
        <f>VLOOKUP($A9,Dataset!A4:X43,13,FALSE)</f>
        <v>10</v>
      </c>
      <c r="D9" s="12">
        <f>VLOOKUP($A9,Dataset!A4:X43,18,FALSE)</f>
        <v>8.1</v>
      </c>
      <c r="E9" s="12">
        <f>VLOOKUP($A9,Dataset!A4:X43,20,FALSE)</f>
        <v>17</v>
      </c>
      <c r="F9" s="8">
        <f>VLOOKUP($A9,Dataset!A4:X43,22,FALSE)</f>
        <v>8.1</v>
      </c>
    </row>
    <row r="10" spans="1:9" ht="15">
      <c r="A10" s="7" t="s">
        <v>11</v>
      </c>
      <c r="B10" s="12">
        <f>VLOOKUP($A10,Dataset!A5:X44,7,FALSE)</f>
        <v>9.4</v>
      </c>
      <c r="C10" s="12">
        <f>VLOOKUP($A10,Dataset!A5:X44,13,FALSE)</f>
        <v>19.2</v>
      </c>
      <c r="D10" s="12">
        <f>VLOOKUP($A10,Dataset!A5:X44,18,FALSE)</f>
        <v>16.100000000000001</v>
      </c>
      <c r="E10" s="12">
        <f>VLOOKUP($A10,Dataset!A5:X44,20,FALSE)</f>
        <v>32.799999999999997</v>
      </c>
      <c r="F10" s="8">
        <f>VLOOKUP($A10,Dataset!A5:X44,22,FALSE)</f>
        <v>16.100000000000001</v>
      </c>
    </row>
    <row r="11" spans="1:9" ht="15">
      <c r="A11" s="7" t="s">
        <v>12</v>
      </c>
      <c r="B11" s="12">
        <f>VLOOKUP($A11,Dataset!A6:X45,7,FALSE)</f>
        <v>11.6</v>
      </c>
      <c r="C11" s="12">
        <f>VLOOKUP($A11,Dataset!A6:X45,13,FALSE)</f>
        <v>23.6</v>
      </c>
      <c r="D11" s="12">
        <f>VLOOKUP($A11,Dataset!A6:X45,18,FALSE)</f>
        <v>21.3</v>
      </c>
      <c r="E11" s="12">
        <f>VLOOKUP($A11,Dataset!A6:X45,20,FALSE)</f>
        <v>43</v>
      </c>
      <c r="F11" s="8">
        <f>VLOOKUP($A11,Dataset!A6:X45,22,FALSE)</f>
        <v>21.3</v>
      </c>
    </row>
    <row r="12" spans="1:9" ht="15">
      <c r="A12" s="7" t="s">
        <v>14</v>
      </c>
      <c r="B12" s="12">
        <f>VLOOKUP($A12,Dataset!A7:X46,7,FALSE)</f>
        <v>18.399999999999999</v>
      </c>
      <c r="C12" s="12">
        <f>VLOOKUP($A12,Dataset!A7:X46,13,FALSE)</f>
        <v>37.200000000000003</v>
      </c>
      <c r="D12" s="12">
        <f>VLOOKUP($A12,Dataset!A7:X46,18,FALSE)</f>
        <v>33.799999999999997</v>
      </c>
      <c r="E12" s="12">
        <f>VLOOKUP($A12,Dataset!A7:X46,20,FALSE)</f>
        <v>67.900000000000006</v>
      </c>
      <c r="F12" s="8">
        <f>VLOOKUP($A12,Dataset!A7:X46,22,FALSE)</f>
        <v>33.799999999999997</v>
      </c>
    </row>
    <row r="13" spans="1:9" ht="15">
      <c r="A13" s="7" t="s">
        <v>15</v>
      </c>
      <c r="B13" s="12">
        <f>VLOOKUP($A13,Dataset!A8:X47,7,FALSE)</f>
        <v>0</v>
      </c>
      <c r="C13" s="12">
        <f>VLOOKUP($A13,Dataset!A8:X47,13,FALSE)</f>
        <v>0</v>
      </c>
      <c r="D13" s="12">
        <f>VLOOKUP($A13,Dataset!A8:X47,18,FALSE)</f>
        <v>0</v>
      </c>
      <c r="E13" s="12">
        <f>VLOOKUP($A13,Dataset!A8:X47,20,FALSE)</f>
        <v>0</v>
      </c>
      <c r="F13" s="8">
        <f>VLOOKUP($A13,Dataset!A8:X47,22,FALSE)</f>
        <v>0</v>
      </c>
    </row>
    <row r="14" spans="1:9" ht="15">
      <c r="A14" s="7" t="s">
        <v>16</v>
      </c>
      <c r="B14" s="12">
        <f>VLOOKUP($A14,Dataset!A9:X48,7,FALSE)</f>
        <v>21.9</v>
      </c>
      <c r="C14" s="12">
        <f>VLOOKUP($A14,Dataset!A9:X48,13,FALSE)</f>
        <v>42.3</v>
      </c>
      <c r="D14" s="12">
        <f>VLOOKUP($A14,Dataset!A9:X48,18,FALSE)</f>
        <v>40.1</v>
      </c>
      <c r="E14" s="12">
        <f>VLOOKUP($A14,Dataset!A9:X48,20,FALSE)</f>
        <v>76.599999999999994</v>
      </c>
      <c r="F14" s="8">
        <f>VLOOKUP($A14,Dataset!A9:X48,22,FALSE)</f>
        <v>40.1</v>
      </c>
    </row>
    <row r="15" spans="1:9" ht="15">
      <c r="A15" s="7" t="s">
        <v>18</v>
      </c>
      <c r="B15" s="12">
        <f>VLOOKUP($A15,Dataset!A10:X49,7,FALSE)</f>
        <v>26.8</v>
      </c>
      <c r="C15" s="12">
        <f>VLOOKUP($A15,Dataset!A10:X49,13,FALSE)</f>
        <v>54.6</v>
      </c>
      <c r="D15" s="12">
        <f>VLOOKUP($A15,Dataset!A10:X49,18,FALSE)</f>
        <v>47.9</v>
      </c>
      <c r="E15" s="12">
        <f>VLOOKUP($A15,Dataset!A10:X49,20,FALSE)</f>
        <v>96.8</v>
      </c>
      <c r="F15" s="8">
        <f>VLOOKUP($A15,Dataset!A10:X49,22,FALSE)</f>
        <v>47.9</v>
      </c>
    </row>
    <row r="16" spans="1:9" ht="15">
      <c r="A16" s="7" t="s">
        <v>20</v>
      </c>
      <c r="B16" s="12">
        <f>VLOOKUP($A16,Dataset!A11:X50,7,FALSE)</f>
        <v>28.5</v>
      </c>
      <c r="C16" s="12">
        <f>VLOOKUP($A16,Dataset!A11:X50,13,FALSE)</f>
        <v>58.3</v>
      </c>
      <c r="D16" s="12">
        <f>VLOOKUP($A16,Dataset!A11:X50,18,FALSE)</f>
        <v>52.3</v>
      </c>
      <c r="E16" s="12">
        <f>VLOOKUP($A16,Dataset!A11:X50,20,FALSE)</f>
        <v>106.1</v>
      </c>
      <c r="F16" s="8">
        <f>VLOOKUP($A16,Dataset!A11:X50,22,FALSE)</f>
        <v>52.3</v>
      </c>
    </row>
    <row r="17" spans="1:6" ht="15">
      <c r="A17" s="7" t="s">
        <v>22</v>
      </c>
      <c r="B17" s="12">
        <f>VLOOKUP($A17,Dataset!A12:X51,7,FALSE)</f>
        <v>30.7</v>
      </c>
      <c r="C17" s="12">
        <f>VLOOKUP($A17,Dataset!A12:X51,13,FALSE)</f>
        <v>62.5</v>
      </c>
      <c r="D17" s="12">
        <f>VLOOKUP($A17,Dataset!A12:X51,18,FALSE)</f>
        <v>57</v>
      </c>
      <c r="E17" s="12">
        <f>VLOOKUP($A17,Dataset!A12:X51,20,FALSE)</f>
        <v>115.1</v>
      </c>
      <c r="F17" s="8">
        <f>VLOOKUP($A17,Dataset!A12:X51,22,FALSE)</f>
        <v>57</v>
      </c>
    </row>
    <row r="18" spans="1:6" ht="15">
      <c r="A18" s="7" t="s">
        <v>23</v>
      </c>
      <c r="B18" s="12">
        <f>VLOOKUP($A18,Dataset!A13:X52,7,FALSE)</f>
        <v>33.799999999999997</v>
      </c>
      <c r="C18" s="12">
        <f>VLOOKUP($A18,Dataset!A13:X52,13,FALSE)</f>
        <v>67.900000000000006</v>
      </c>
      <c r="D18" s="12">
        <f>VLOOKUP($A18,Dataset!A13:X52,18,FALSE)</f>
        <v>61.4</v>
      </c>
      <c r="E18" s="12">
        <f>VLOOKUP($A18,Dataset!A13:X52,20,FALSE)</f>
        <v>124.4</v>
      </c>
      <c r="F18" s="8">
        <f>VLOOKUP($A18,Dataset!A13:X52,22,FALSE)</f>
        <v>61.4</v>
      </c>
    </row>
    <row r="19" spans="1:6" ht="15">
      <c r="A19" s="7" t="s">
        <v>24</v>
      </c>
      <c r="B19" s="12">
        <f>VLOOKUP($A19,Dataset!A14:X53,7,FALSE)</f>
        <v>34.700000000000003</v>
      </c>
      <c r="C19" s="12">
        <f>VLOOKUP($A19,Dataset!A14:X53,13,FALSE)</f>
        <v>70.8</v>
      </c>
      <c r="D19" s="12">
        <f>VLOOKUP($A19,Dataset!A14:X53,18,FALSE)</f>
        <v>63.6</v>
      </c>
      <c r="E19" s="12">
        <f>VLOOKUP($A19,Dataset!A14:X53,20,FALSE)</f>
        <v>128.6</v>
      </c>
      <c r="F19" s="8">
        <f>VLOOKUP($A19,Dataset!A14:X53,22,FALSE)</f>
        <v>63.6</v>
      </c>
    </row>
    <row r="20" spans="1:6" ht="15">
      <c r="A20" s="7" t="s">
        <v>28</v>
      </c>
      <c r="B20" s="12">
        <f>VLOOKUP($A20,Dataset!A15:X54,7,FALSE)</f>
        <v>0</v>
      </c>
      <c r="C20" s="12">
        <f>VLOOKUP($A20,Dataset!A15:X54,13,FALSE)</f>
        <v>0</v>
      </c>
      <c r="D20" s="12">
        <f>VLOOKUP($A20,Dataset!A15:X54,18,FALSE)</f>
        <v>0</v>
      </c>
      <c r="E20" s="12">
        <f>VLOOKUP($A20,Dataset!A15:X54,20,FALSE)</f>
        <v>0</v>
      </c>
      <c r="F20" s="8">
        <f>VLOOKUP($A20,Dataset!A15:X54,22,FALSE)</f>
        <v>0</v>
      </c>
    </row>
    <row r="21" spans="1:6" ht="15">
      <c r="A21" s="7" t="s">
        <v>57</v>
      </c>
      <c r="B21" s="12">
        <f>VLOOKUP($A21,Dataset!A16:X55,7,FALSE)</f>
        <v>41.3</v>
      </c>
      <c r="C21" s="12">
        <f>VLOOKUP($A21,Dataset!A16:X55,13,FALSE)</f>
        <v>83.5</v>
      </c>
      <c r="D21" s="12">
        <f>VLOOKUP($A21,Dataset!A16:X55,18,FALSE)</f>
        <v>75</v>
      </c>
      <c r="E21" s="12">
        <f>VLOOKUP($A21,Dataset!A16:X55,20,FALSE)</f>
        <v>151.5</v>
      </c>
      <c r="F21" s="8">
        <f>VLOOKUP($A21,Dataset!A16:X55,22,FALSE)</f>
        <v>75</v>
      </c>
    </row>
    <row r="22" spans="1:6" ht="15">
      <c r="A22" s="7" t="s">
        <v>58</v>
      </c>
      <c r="B22" s="12">
        <f>VLOOKUP($A22,Dataset!A17:X56,7,FALSE)</f>
        <v>-1</v>
      </c>
      <c r="C22" s="12">
        <f>VLOOKUP($A22,Dataset!A17:X56,13,FALSE)</f>
        <v>-1</v>
      </c>
      <c r="D22" s="12">
        <f>VLOOKUP($A22,Dataset!A17:X56,18,FALSE)</f>
        <v>-1</v>
      </c>
      <c r="E22" s="12">
        <f>VLOOKUP($A22,Dataset!A17:X56,20,FALSE)</f>
        <v>-1</v>
      </c>
      <c r="F22" s="8">
        <f>VLOOKUP($A22,Dataset!A17:X56,22,FALSE)</f>
        <v>-1</v>
      </c>
    </row>
    <row r="23" spans="1:6" ht="15">
      <c r="A23" s="7" t="s">
        <v>31</v>
      </c>
      <c r="B23" s="12">
        <f>VLOOKUP($A23,Dataset!A18:X57,7,FALSE)</f>
        <v>45</v>
      </c>
      <c r="C23" s="12">
        <f>VLOOKUP($A23,Dataset!A18:X57,13,FALSE)</f>
        <v>90.9</v>
      </c>
      <c r="D23" s="12">
        <f>VLOOKUP($A23,Dataset!A18:X57,18,FALSE)</f>
        <v>79.400000000000006</v>
      </c>
      <c r="E23" s="12">
        <f>VLOOKUP($A23,Dataset!A18:X57,20,FALSE)</f>
        <v>160.9</v>
      </c>
      <c r="F23" s="8">
        <f>VLOOKUP($A23,Dataset!A18:X57,22,FALSE)</f>
        <v>79.400000000000006</v>
      </c>
    </row>
    <row r="24" spans="1:6" ht="15">
      <c r="A24" s="7" t="s">
        <v>32</v>
      </c>
      <c r="B24" s="12">
        <f>VLOOKUP($A24,Dataset!A19:X58,7,FALSE)</f>
        <v>-1</v>
      </c>
      <c r="C24" s="12">
        <f>VLOOKUP($A24,Dataset!A19:X58,13,FALSE)</f>
        <v>-1</v>
      </c>
      <c r="D24" s="12">
        <f>VLOOKUP($A24,Dataset!A19:X58,18,FALSE)</f>
        <v>-1</v>
      </c>
      <c r="E24" s="12">
        <f>VLOOKUP($A24,Dataset!A19:X58,20,FALSE)</f>
        <v>-1</v>
      </c>
      <c r="F24" s="8">
        <f>VLOOKUP($A24,Dataset!A19:X58,22,FALSE)</f>
        <v>-1</v>
      </c>
    </row>
    <row r="25" spans="1:6" ht="15">
      <c r="A25" s="7" t="s">
        <v>34</v>
      </c>
      <c r="B25" s="12">
        <f>VLOOKUP($A25,Dataset!A20:X59,7,FALSE)</f>
        <v>43.3</v>
      </c>
      <c r="C25" s="12">
        <f>VLOOKUP($A25,Dataset!A20:X59,13,FALSE)</f>
        <v>87.6</v>
      </c>
      <c r="D25" s="12">
        <f>VLOOKUP($A25,Dataset!A20:X59,18,FALSE)</f>
        <v>79.400000000000006</v>
      </c>
      <c r="E25" s="12">
        <f>VLOOKUP($A25,Dataset!A20:X59,20,FALSE)</f>
        <v>160.9</v>
      </c>
      <c r="F25" s="8">
        <f>VLOOKUP($A25,Dataset!A20:X59,22,FALSE)</f>
        <v>79.400000000000006</v>
      </c>
    </row>
    <row r="26" spans="1:6" ht="15">
      <c r="A26" s="7" t="s">
        <v>37</v>
      </c>
      <c r="B26" s="12">
        <f>VLOOKUP($A26,Dataset!A21:X60,7,FALSE)</f>
        <v>49.1</v>
      </c>
      <c r="C26" s="12">
        <f>VLOOKUP($A26,Dataset!A21:X60,13,FALSE)</f>
        <v>99.5</v>
      </c>
      <c r="D26" s="12">
        <f>VLOOKUP($A26,Dataset!A21:X60,18,FALSE)</f>
        <v>90.9</v>
      </c>
      <c r="E26" s="12">
        <f>VLOOKUP($A26,Dataset!A21:X60,20,FALSE)</f>
        <v>183.5</v>
      </c>
      <c r="F26" s="8">
        <f>VLOOKUP($A26,Dataset!A21:X60,22,FALSE)</f>
        <v>90.9</v>
      </c>
    </row>
    <row r="27" spans="1:6" ht="15">
      <c r="A27" s="7" t="s">
        <v>39</v>
      </c>
      <c r="B27" s="12">
        <f>VLOOKUP($A27,Dataset!A22:X61,7,FALSE)</f>
        <v>51.8</v>
      </c>
      <c r="C27" s="12">
        <f>VLOOKUP($A27,Dataset!A22:X61,13,FALSE)</f>
        <v>104.5</v>
      </c>
      <c r="D27" s="12">
        <f>VLOOKUP($A27,Dataset!A22:X61,18,FALSE)</f>
        <v>93.1</v>
      </c>
      <c r="E27" s="12">
        <f>VLOOKUP($A27,Dataset!A22:X61,20,FALSE)</f>
        <v>188.1</v>
      </c>
      <c r="F27" s="8">
        <f>VLOOKUP($A27,Dataset!A22:X61,22,FALSE)</f>
        <v>93.1</v>
      </c>
    </row>
    <row r="28" spans="1:6" ht="15">
      <c r="A28" s="19" t="s">
        <v>82</v>
      </c>
      <c r="B28" s="31">
        <f>MIN(B6:B27)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5">
      <c r="A29" s="19" t="s">
        <v>83</v>
      </c>
      <c r="B29" s="31">
        <f>MAX(B6:B27)</f>
        <v>51.8</v>
      </c>
      <c r="C29" s="31">
        <f>MAX(C6:C27)</f>
        <v>104.5</v>
      </c>
      <c r="D29" s="31">
        <f>MAX(D6:D27)</f>
        <v>93.1</v>
      </c>
      <c r="E29" s="31">
        <f t="shared" ref="E29:F29" si="1">MAX(E6:E27)</f>
        <v>188.1</v>
      </c>
      <c r="F29" s="31">
        <f t="shared" si="1"/>
        <v>93.1</v>
      </c>
    </row>
    <row r="30" spans="1:6" ht="15">
      <c r="A30" s="19" t="s">
        <v>84</v>
      </c>
      <c r="B30" s="31">
        <f>AVERAGE(B6:B27)</f>
        <v>20.827272727272728</v>
      </c>
      <c r="C30" s="31">
        <f t="shared" ref="C30:F30" si="2">AVERAGE(C6:C27)</f>
        <v>42.31363636363637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2" zoomScaleNormal="100" workbookViewId="0">
      <selection activeCell="I9" sqref="I9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1" customFormat="1" ht="21">
      <c r="A1" s="42" t="s">
        <v>56</v>
      </c>
      <c r="B1" s="41" t="s">
        <v>174</v>
      </c>
    </row>
    <row r="2" spans="1:10" customFormat="1" ht="12.75"/>
    <row r="3" spans="1:10" s="2" customFormat="1">
      <c r="B3" s="1"/>
    </row>
    <row r="4" spans="1:10" s="2" customFormat="1">
      <c r="B4" s="1" t="s">
        <v>151</v>
      </c>
    </row>
    <row r="5" spans="1:10" ht="18.75">
      <c r="A5" s="43" t="s">
        <v>53</v>
      </c>
      <c r="B5" s="40"/>
    </row>
    <row r="6" spans="1:10" ht="18.75">
      <c r="A6" s="43" t="s">
        <v>153</v>
      </c>
      <c r="B6" s="40"/>
    </row>
    <row r="7" spans="1:10" ht="18.75">
      <c r="A7" s="43"/>
      <c r="B7" s="40"/>
    </row>
    <row r="9" spans="1:10" ht="23.25">
      <c r="A9" s="18" t="s">
        <v>165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>
      <c r="A14" s="18" t="s">
        <v>162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10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  <c r="H17" s="52" t="s">
        <v>183</v>
      </c>
      <c r="I17" s="52" t="s">
        <v>182</v>
      </c>
      <c r="J17" s="52"/>
    </row>
    <row r="18" spans="1:10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10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10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10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10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10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10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10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10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10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10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10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10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10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10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22"/>
  <sheetViews>
    <sheetView topLeftCell="A6" zoomScaleNormal="100" workbookViewId="0">
      <selection activeCell="D7" sqref="D7:AL9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9" ht="21">
      <c r="A1" s="42" t="s">
        <v>85</v>
      </c>
      <c r="B1" s="41" t="s">
        <v>167</v>
      </c>
    </row>
    <row r="2" spans="1:49" ht="18.75">
      <c r="B2" s="40" t="s">
        <v>166</v>
      </c>
    </row>
    <row r="5" spans="1:49" ht="15">
      <c r="B5" s="1" t="s">
        <v>151</v>
      </c>
    </row>
    <row r="6" spans="1:49" ht="15">
      <c r="A6" s="3" t="s">
        <v>53</v>
      </c>
      <c r="B6" s="1" t="s">
        <v>187</v>
      </c>
    </row>
    <row r="7" spans="1:49" ht="19.5">
      <c r="A7" s="3" t="s">
        <v>153</v>
      </c>
      <c r="B7" s="65" t="s">
        <v>184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19.5">
      <c r="B8" s="65" t="s">
        <v>185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19.5">
      <c r="B9" s="67" t="s">
        <v>186</v>
      </c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</row>
    <row r="10" spans="1:49" ht="23.25">
      <c r="A10" s="18" t="s">
        <v>162</v>
      </c>
    </row>
    <row r="11" spans="1:49" ht="15">
      <c r="A11" s="32" t="s">
        <v>86</v>
      </c>
      <c r="B11" s="17" t="s">
        <v>87</v>
      </c>
      <c r="C11" s="17" t="s">
        <v>88</v>
      </c>
    </row>
    <row r="12" spans="1:49" ht="15">
      <c r="A12" s="32">
        <v>44927</v>
      </c>
      <c r="B12" s="17" t="s">
        <v>59</v>
      </c>
      <c r="C12" s="17">
        <v>200</v>
      </c>
    </row>
    <row r="13" spans="1:49" ht="15">
      <c r="A13" s="32">
        <v>44928</v>
      </c>
      <c r="B13" s="17" t="s">
        <v>60</v>
      </c>
      <c r="C13" s="17" t="e">
        <v>#N/A</v>
      </c>
    </row>
    <row r="14" spans="1:49" ht="15">
      <c r="A14" s="32">
        <v>44929</v>
      </c>
      <c r="B14" s="17" t="s">
        <v>61</v>
      </c>
      <c r="C14" s="17">
        <v>50</v>
      </c>
    </row>
    <row r="15" spans="1:49" ht="15">
      <c r="A15" s="32">
        <v>44930</v>
      </c>
      <c r="B15" s="17" t="s">
        <v>62</v>
      </c>
      <c r="C15" s="17" t="e">
        <v>#N/A</v>
      </c>
    </row>
    <row r="16" spans="1:49" ht="15">
      <c r="A16" s="32">
        <v>44931</v>
      </c>
      <c r="B16" s="17" t="s">
        <v>63</v>
      </c>
      <c r="C16" s="17">
        <v>10</v>
      </c>
    </row>
    <row r="17" spans="1:3" ht="15">
      <c r="A17" s="32">
        <v>44932</v>
      </c>
      <c r="B17" s="17" t="s">
        <v>154</v>
      </c>
      <c r="C17" s="17">
        <v>150</v>
      </c>
    </row>
    <row r="18" spans="1:3" ht="15">
      <c r="A18" s="32">
        <v>44933</v>
      </c>
      <c r="B18" s="17" t="s">
        <v>155</v>
      </c>
      <c r="C18" s="17">
        <v>80</v>
      </c>
    </row>
    <row r="19" spans="1:3" ht="15">
      <c r="A19" s="32">
        <v>44934</v>
      </c>
      <c r="B19" s="17" t="s">
        <v>156</v>
      </c>
      <c r="C19" s="17" t="e">
        <v>#N/A</v>
      </c>
    </row>
    <row r="20" spans="1:3" ht="15">
      <c r="A20" s="32">
        <v>44935</v>
      </c>
      <c r="B20" s="17" t="s">
        <v>157</v>
      </c>
      <c r="C20" s="17">
        <v>30</v>
      </c>
    </row>
    <row r="21" spans="1:3" ht="15">
      <c r="A21" s="32">
        <v>44936</v>
      </c>
      <c r="B21" s="17" t="s">
        <v>158</v>
      </c>
      <c r="C21" s="17" t="e">
        <v>#N/A</v>
      </c>
    </row>
    <row r="22" spans="1:3" ht="15">
      <c r="B22" s="17" t="s">
        <v>159</v>
      </c>
      <c r="C22" s="25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42"/>
  <sheetViews>
    <sheetView tabSelected="1" topLeftCell="A21" zoomScale="90" zoomScaleNormal="90" workbookViewId="0">
      <selection activeCell="J35" sqref="J35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42" t="s">
        <v>98</v>
      </c>
      <c r="B1" s="41" t="s">
        <v>175</v>
      </c>
    </row>
    <row r="3" spans="1:14" ht="15">
      <c r="B3" s="1" t="s">
        <v>151</v>
      </c>
    </row>
    <row r="4" spans="1:14" ht="18.75">
      <c r="A4" s="43" t="s">
        <v>53</v>
      </c>
      <c r="B4" s="1"/>
    </row>
    <row r="5" spans="1:14" ht="18.75">
      <c r="A5" s="43" t="s">
        <v>153</v>
      </c>
      <c r="B5" s="1"/>
    </row>
    <row r="6" spans="1:14" ht="15">
      <c r="A6" s="3"/>
      <c r="B6" s="1"/>
    </row>
    <row r="8" spans="1:14" ht="23.25">
      <c r="A8" s="18" t="s">
        <v>162</v>
      </c>
      <c r="M8" s="18" t="s">
        <v>163</v>
      </c>
    </row>
    <row r="9" spans="1:14" ht="1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35" ht="1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35" ht="1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35" ht="23.25">
      <c r="A21" s="18" t="s">
        <v>168</v>
      </c>
    </row>
    <row r="22" spans="1:35" ht="15">
      <c r="A22" s="14" t="s">
        <v>100</v>
      </c>
      <c r="B22" s="17" t="s">
        <v>101</v>
      </c>
      <c r="C22" s="16" t="s">
        <v>102</v>
      </c>
    </row>
    <row r="23" spans="1:35" ht="21">
      <c r="A23" s="7">
        <v>10100</v>
      </c>
      <c r="B23" s="12">
        <v>10102</v>
      </c>
      <c r="C23" s="44">
        <f>INDEX($B$10:$J$18,MATCH(A23,$M$10:$M$18,0),MATCH(B23,$M$10:$M$18,0))</f>
        <v>95</v>
      </c>
      <c r="H23" s="62" t="s">
        <v>188</v>
      </c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</row>
    <row r="24" spans="1:35" ht="21">
      <c r="A24" s="7">
        <v>10100</v>
      </c>
      <c r="B24" s="12">
        <v>10104</v>
      </c>
      <c r="C24" s="44">
        <f t="shared" ref="C24:C35" si="0">INDEX($B$10:$J$18,MATCH(A24,$M$10:$M$18,0),MATCH(B24,$M$10:$M$18,0))</f>
        <v>-1</v>
      </c>
      <c r="H24" s="62" t="s">
        <v>189</v>
      </c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</row>
    <row r="25" spans="1:35" ht="21">
      <c r="A25" s="7">
        <v>10108</v>
      </c>
      <c r="B25" s="12">
        <v>10102</v>
      </c>
      <c r="C25" s="44">
        <f t="shared" si="0"/>
        <v>160</v>
      </c>
      <c r="H25" s="62" t="s">
        <v>190</v>
      </c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</row>
    <row r="26" spans="1:35" ht="15">
      <c r="A26" s="7">
        <v>10100</v>
      </c>
      <c r="B26" s="12">
        <v>10106</v>
      </c>
      <c r="C26" s="44">
        <f t="shared" si="0"/>
        <v>185</v>
      </c>
      <c r="H26" s="64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</row>
    <row r="27" spans="1:35" ht="15">
      <c r="A27" s="7">
        <v>10108</v>
      </c>
      <c r="B27" s="12">
        <v>10110</v>
      </c>
      <c r="C27" s="44">
        <f t="shared" si="0"/>
        <v>50</v>
      </c>
      <c r="H27" s="56"/>
    </row>
    <row r="28" spans="1:35" ht="15">
      <c r="A28" s="7">
        <v>10102</v>
      </c>
      <c r="B28" s="12">
        <v>10104</v>
      </c>
      <c r="C28" s="44">
        <f t="shared" si="0"/>
        <v>-1</v>
      </c>
      <c r="H28"/>
    </row>
    <row r="29" spans="1:35" ht="20.25">
      <c r="A29" s="7">
        <v>10106</v>
      </c>
      <c r="B29" s="12">
        <v>10108</v>
      </c>
      <c r="C29" s="44">
        <f t="shared" si="0"/>
        <v>70</v>
      </c>
      <c r="H29" s="55"/>
    </row>
    <row r="30" spans="1:35" ht="15">
      <c r="A30" s="7">
        <v>10102</v>
      </c>
      <c r="B30" s="12">
        <v>10106</v>
      </c>
      <c r="C30" s="44">
        <f t="shared" si="0"/>
        <v>90</v>
      </c>
      <c r="H30"/>
    </row>
    <row r="31" spans="1:35" ht="20.25">
      <c r="A31" s="7">
        <v>10110</v>
      </c>
      <c r="B31" s="12">
        <v>10114</v>
      </c>
      <c r="C31" s="44">
        <f t="shared" si="0"/>
        <v>180</v>
      </c>
      <c r="H31" s="55"/>
    </row>
    <row r="32" spans="1:35" ht="15">
      <c r="A32" s="7">
        <v>10104</v>
      </c>
      <c r="B32" s="12">
        <v>10106</v>
      </c>
      <c r="C32" s="44">
        <f t="shared" si="0"/>
        <v>60</v>
      </c>
      <c r="H32" s="57"/>
    </row>
    <row r="33" spans="1:32" ht="20.25" customHeight="1">
      <c r="A33" s="7">
        <v>10110</v>
      </c>
      <c r="B33" s="12">
        <v>10112</v>
      </c>
      <c r="C33" s="44">
        <f t="shared" si="0"/>
        <v>115</v>
      </c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20.25" customHeight="1">
      <c r="A34" s="7">
        <v>10100</v>
      </c>
      <c r="B34" s="12">
        <v>10114</v>
      </c>
      <c r="C34" s="44">
        <f t="shared" si="0"/>
        <v>480</v>
      </c>
      <c r="G34" s="58"/>
      <c r="H34" s="59"/>
      <c r="I34" s="58"/>
      <c r="J34" s="58"/>
      <c r="K34" s="58"/>
      <c r="L34" s="59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9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20.25" customHeight="1">
      <c r="A35" s="9">
        <v>10112</v>
      </c>
      <c r="B35" s="13">
        <v>10116</v>
      </c>
      <c r="C35" s="44">
        <f t="shared" si="0"/>
        <v>105</v>
      </c>
      <c r="G35" s="58"/>
      <c r="H35" s="59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>
      <c r="G36" s="58"/>
      <c r="H36" s="60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20.25" customHeight="1">
      <c r="G37" s="58"/>
      <c r="H37" s="61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Owner</cp:lastModifiedBy>
  <dcterms:created xsi:type="dcterms:W3CDTF">2015-02-10T17:33:11Z</dcterms:created>
  <dcterms:modified xsi:type="dcterms:W3CDTF">2023-12-10T16:48:21Z</dcterms:modified>
</cp:coreProperties>
</file>